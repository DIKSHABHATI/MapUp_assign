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iksha Bhati\MapUp-Data-Assessment-E\"/>
    </mc:Choice>
  </mc:AlternateContent>
  <xr:revisionPtr revIDLastSave="0" documentId="8_{67CE3377-D1C0-4389-A29A-AAEBEC55A867}" xr6:coauthVersionLast="47" xr6:coauthVersionMax="47" xr10:uidLastSave="{00000000-0000-0000-0000-000000000000}"/>
  <bookViews>
    <workbookView xWindow="-110" yWindow="-110" windowWidth="19420" windowHeight="103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2" i="19" a="1"/>
  <c r="C22" i="19" s="1"/>
  <c r="F30" i="18"/>
  <c r="E30" i="18"/>
  <c r="D30" i="18"/>
  <c r="C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7" i="18"/>
  <c r="B8" i="18"/>
  <c r="B9" i="18"/>
  <c r="B10" i="18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2" i="1"/>
  <c r="AH17" i="1"/>
  <c r="C3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<sst xmlns="http://schemas.openxmlformats.org/spreadsheetml/2006/main" count="409" uniqueCount="186">
  <si>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</si>
  <si>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</si>
  <si>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</si>
  <si>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</si>
  <si>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</si>
  <si>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</si>
  <si>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</si>
  <si>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</si>
  <si>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</si>
  <si>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</si>
  <si>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</si>
  <si>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</si>
  <si>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</si>
  <si>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</si>
  <si>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</si>
  <si>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</si>
  <si>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</si>
  <si>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</si>
  <si>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</si>
  <si>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</si>
  <si>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</si>
  <si>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</si>
  <si>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</si>
  <si>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</si>
  <si>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</si>
  <si>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</si>
  <si>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</si>
  <si>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</si>
  <si>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</si>
  <si>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</si>
  <si>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</si>
  <si>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</si>
  <si>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</si>
  <si>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</si>
  <si>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</si>
  <si>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</si>
  <si>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</si>
  <si>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</si>
  <si>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</si>
  <si>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</si>
  <si>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</si>
  <si>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</si>
  <si>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</si>
  <si>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</si>
  <si>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</si>
  <si>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</si>
  <si>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</si>
  <si>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</si>
  <si>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</si>
  <si>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</si>
  <si>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</si>
  <si>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</si>
  <si>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</si>
  <si>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</si>
  <si>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</si>
  <si>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</si>
  <si>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</si>
  <si>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</si>
  <si>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</si>
  <si>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</si>
  <si>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</si>
  <si>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</si>
  <si>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</si>
  <si>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</si>
  <si>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</si>
  <si>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</si>
  <si>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</si>
  <si>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</si>
  <si>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</si>
  <si>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</si>
  <si>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</si>
  <si>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</si>
  <si>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</si>
  <si>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</si>
  <si>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</si>
  <si>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</si>
  <si>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</si>
  <si>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</si>
  <si>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</si>
  <si>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</si>
  <si>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</si>
  <si>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</si>
  <si>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</si>
  <si>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</si>
  <si>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</si>
  <si>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</si>
  <si>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</si>
  <si>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</si>
  <si>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</si>
  <si>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</si>
  <si>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</si>
  <si>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</si>
  <si>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</si>
  <si>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</si>
  <si>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</si>
  <si>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</si>
  <si>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</si>
  <si>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</si>
  <si>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</si>
  <si>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</si>
  <si>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</si>
  <si>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</si>
  <si>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</si>
  <si>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</si>
  <si>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</si>
  <si>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</si>
  <si>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</si>
  <si>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</si>
  <si>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</si>
  <si>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</si>
  <si>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</si>
  <si>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</si>
  <si>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</si>
  <si>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</si>
  <si>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</si>
  <si>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</si>
  <si>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</si>
  <si>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</si>
  <si>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</si>
  <si>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</si>
  <si>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</si>
  <si>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</si>
  <si>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</si>
  <si>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</si>
  <si>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</si>
  <si>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</si>
  <si>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</si>
  <si>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</si>
  <si>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</si>
  <si>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</si>
  <si>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</si>
  <si>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</si>
  <si>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</si>
  <si>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</si>
  <si>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</si>
  <si>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</si>
  <si>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</si>
  <si>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</si>
  <si>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</si>
  <si>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</si>
  <si>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</si>
  <si>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</si>
  <si>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</si>
  <si>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</si>
  <si>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</si>
  <si>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</si>
  <si>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</si>
  <si>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</si>
  <si>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</si>
  <si>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</si>
  <si>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</si>
  <si>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</si>
  <si>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</si>
  <si>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</si>
  <si>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</si>
  <si>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</si>
  <si>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</si>
  <si>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</si>
  <si>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</si>
  <si>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</si>
  <si>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</si>
  <si>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</si>
  <si>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</si>
  <si>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</si>
  <si>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</si>
  <si>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</si>
  <si>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</si>
  <si>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</si>
  <si>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</si>
  <si>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</si>
  <si>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</si>
  <si>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</si>
  <si>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</si>
  <si>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</si>
  <si>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</si>
  <si>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</si>
  <si>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</si>
  <si>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" =SUMIFS(H:H, H:H, "&gt;20")"</t>
  </si>
  <si>
    <t xml:space="preserve"> sum of all values greater than '20' in column H labelled 'car2' </t>
  </si>
  <si>
    <t>Formatted dates</t>
  </si>
  <si>
    <t>The functionality used to split values in Excel into separate cells based on a delimiter is called "Text to Columns." This feature is available under the "Data" tab in the Excel ribbon.</t>
  </si>
  <si>
    <t>use "Text to Columns" under the "Data" tab. Select the column with values, choose "Delimited," pick the hyphen "-" as the delimiter, and specify the starting cell. The functionality splits the data, placing each part into separate cells, effectively organizing it as needed.</t>
  </si>
  <si>
    <t>This formula calculates the sum of the "Sales" column in the "Table_A" table. It replaces any #N/A errors with the value '20' before summing the sales values, ensuring a total that includes a substitute for missing or error-prone data.</t>
  </si>
  <si>
    <t>"=SUM(IFNA(C12:C21, 20))"</t>
  </si>
  <si>
    <t>"=INDEX($A$9:$J$18, MATCH(VLOOKUP(A23, $M$9:$N$18, 2, FALSE), $A$9:$A$18, 0), MATCH(VLOOKUP(B23, $M$9:$N$18, 2, FALSE), $A$9:$J$9, 0))"</t>
  </si>
  <si>
    <t>This formula cross-references IDs and names between Tables A and B. The VLOOKUP retrieves names from Table_B based on IDs, and MATCH finds their positions in Table_A.  The INDEX then retrieves corresponding values from Table_A, populating the "value" column in Table_C.  Adjust cell references based on the actual locations of your data. This formula streamlines data retrieval, facilitating relationships between tables and ensuring accurate information in Table_C based on specified header ranges.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</si>
</sst>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63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3" fillId="0" borderId="13" xfId="0" applyFont="1" applyBorder="1"/>
    <xf numFmtId="0" fontId="3" fillId="0" borderId="14" xfId="0" applyFont="1" applyBorder="1"/>
    <xf numFmtId="0" fontId="3" fillId="0" borderId="15" xfId="0" applyFont="1" applyBorder="1"/>
    <xf numFmtId="0" fontId="3" fillId="0" borderId="16" xfId="0" applyFont="1" applyBorder="1"/>
    <xf numFmtId="0" fontId="3" fillId="0" borderId="0" xfId="0" applyFont="1" applyBorder="1"/>
    <xf numFmtId="0" fontId="3" fillId="0" borderId="17" xfId="0" applyFont="1" applyBorder="1"/>
    <xf numFmtId="0" fontId="3" fillId="0" borderId="18" xfId="0" applyFont="1" applyBorder="1"/>
    <xf numFmtId="0" fontId="3" fillId="0" borderId="19" xfId="0" applyFont="1" applyBorder="1"/>
    <xf numFmtId="0" fontId="3" fillId="0" borderId="20" xfId="0" applyFont="1" applyBorder="1"/>
    <xf numFmtId="0" fontId="3" fillId="0" borderId="12" xfId="0" applyFont="1" applyBorder="1"/>
    <xf numFmtId="0" fontId="3" fillId="0" borderId="21" xfId="0" applyFont="1" applyBorder="1"/>
    <xf numFmtId="0" fontId="3" fillId="0" borderId="22" xfId="0" applyFont="1" applyBorder="1"/>
    <xf numFmtId="0" fontId="3" fillId="0" borderId="23" xfId="0" applyFont="1" applyBorder="1"/>
    <xf numFmtId="0" fontId="8" fillId="0" borderId="0" xfId="0" applyFont="1" applyAlignment="1">
      <alignment horizontal="left" vertical="top" wrapText="1"/>
    </xf>
    <xf numFmtId="0" fontId="13" fillId="0" borderId="0" xfId="0" applyFont="1" applyAlignment="1">
      <alignment horizontal="center" vertical="center"/>
    </xf>
    <xf numFmtId="0" fontId="3" fillId="0" borderId="0" xfId="0" applyFont="1" applyAlignment="1">
      <alignment vertical="top" wrapText="1"/>
    </xf>
    <xf numFmtId="0" fontId="7" fillId="0" borderId="0" xfId="0" applyFont="1" applyAlignment="1">
      <alignment horizontal="center" vertical="center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theme="1"/>
      </font>
      <fill>
        <patternFill patternType="solid">
          <bgColor rgb="FFFF474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fill>
        <patternFill patternType="solid">
          <fgColor auto="1"/>
          <bgColor rgb="FF92D05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colors>
    <mruColors>
      <color rgb="FFFF47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40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7" t="s">
        <v>171</v>
      </c>
      <c r="B9" s="26" t="s">
        <v>169</v>
      </c>
    </row>
    <row r="10" spans="1:3" x14ac:dyDescent="0.3">
      <c r="A10" s="36" t="s">
        <v>172</v>
      </c>
      <c r="B10" s="38">
        <v>25</v>
      </c>
    </row>
    <row r="11" spans="1:3" x14ac:dyDescent="0.3">
      <c r="A11" s="36" t="s">
        <v>55</v>
      </c>
      <c r="B11" s="38">
        <v>30</v>
      </c>
    </row>
    <row r="12" spans="1:3" x14ac:dyDescent="0.3">
      <c r="A12" s="36" t="s">
        <v>56</v>
      </c>
      <c r="B12" s="38">
        <v>10</v>
      </c>
    </row>
    <row r="13" spans="1:3" x14ac:dyDescent="0.3">
      <c r="A13" s="36" t="s">
        <v>85</v>
      </c>
      <c r="B13" s="38">
        <v>20</v>
      </c>
    </row>
    <row r="14" spans="1:3" x14ac:dyDescent="0.3">
      <c r="A14" s="36" t="s">
        <v>98</v>
      </c>
      <c r="B14" s="38">
        <v>40</v>
      </c>
    </row>
    <row r="15" spans="1:3" x14ac:dyDescent="0.3">
      <c r="A15" s="39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H40"/>
  <sheetViews>
    <sheetView zoomScaleNormal="100" workbookViewId="0">
      <pane ySplit="1" topLeftCell="A2" activePane="bottomLeft" state="frozen"/>
      <selection pane="bottomLeft" activeCell="E8" sqref="E8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26" width="14.59765625" style="1" customWidth="1"/>
    <col min="27" max="16384" width="9" style="1"/>
  </cols>
  <sheetData>
    <row r="1" spans="1:26" s="3" customFormat="1" ht="14.75" customHeight="1" thickBot="1" x14ac:dyDescent="0.4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105</v>
      </c>
      <c r="Y1" s="3" t="s">
        <v>179</v>
      </c>
    </row>
    <row r="2" spans="1:26" x14ac:dyDescent="0.3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  <c r="Y2" s="56" t="str">
        <f>TEXT(X2, "YYYY-MM-DD")</f>
        <v>2023-05-05</v>
      </c>
      <c r="Z2" s="50"/>
    </row>
    <row r="3" spans="1:26" x14ac:dyDescent="0.3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  <c r="Y3" s="57" t="str">
        <f t="shared" ref="Y3:Y40" si="0">TEXT(X3, "YYYY-MM-DD")</f>
        <v>2023-05-02</v>
      </c>
      <c r="Z3" s="50"/>
    </row>
    <row r="4" spans="1:26" x14ac:dyDescent="0.3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  <c r="Y4" s="57" t="str">
        <f t="shared" si="0"/>
        <v>2023-05-09</v>
      </c>
      <c r="Z4" s="50"/>
    </row>
    <row r="5" spans="1:26" x14ac:dyDescent="0.3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  <c r="Y5" s="57" t="str">
        <f t="shared" si="0"/>
        <v>2023-05-13</v>
      </c>
      <c r="Z5" s="50"/>
    </row>
    <row r="6" spans="1:26" x14ac:dyDescent="0.3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  <c r="Y6" s="57" t="str">
        <f t="shared" si="0"/>
        <v>2023-05-30</v>
      </c>
      <c r="Z6" s="50"/>
    </row>
    <row r="7" spans="1:26" x14ac:dyDescent="0.3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  <c r="Y7" s="57" t="str">
        <f t="shared" si="0"/>
        <v>2023-05-11</v>
      </c>
      <c r="Z7" s="50"/>
    </row>
    <row r="8" spans="1:26" x14ac:dyDescent="0.3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  <c r="Y8" s="57" t="str">
        <f t="shared" si="0"/>
        <v>2023-05-06</v>
      </c>
      <c r="Z8" s="50"/>
    </row>
    <row r="9" spans="1:26" x14ac:dyDescent="0.3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  <c r="Y9" s="57" t="str">
        <f t="shared" si="0"/>
        <v>2023-06-21</v>
      </c>
      <c r="Z9" s="50"/>
    </row>
    <row r="10" spans="1:26" x14ac:dyDescent="0.3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  <c r="Y10" s="57" t="str">
        <f t="shared" si="0"/>
        <v>2023-06-15</v>
      </c>
      <c r="Z10" s="50"/>
    </row>
    <row r="11" spans="1:26" x14ac:dyDescent="0.3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  <c r="Y11" s="57" t="str">
        <f t="shared" si="0"/>
        <v>2023-06-27</v>
      </c>
      <c r="Z11" s="50"/>
    </row>
    <row r="12" spans="1:26" x14ac:dyDescent="0.3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  <c r="Y12" s="57" t="str">
        <f t="shared" si="0"/>
        <v>2023-07-09</v>
      </c>
      <c r="Z12" s="50"/>
    </row>
    <row r="13" spans="1:26" x14ac:dyDescent="0.3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  <c r="Y13" s="57" t="str">
        <f t="shared" si="0"/>
        <v>2023-07-03</v>
      </c>
      <c r="Z13" s="50"/>
    </row>
    <row r="14" spans="1:26" x14ac:dyDescent="0.3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  <c r="Y14" s="57" t="str">
        <f t="shared" si="0"/>
        <v>2023-06-18</v>
      </c>
      <c r="Z14" s="50"/>
    </row>
    <row r="15" spans="1:26" x14ac:dyDescent="0.3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  <c r="Y15" s="57" t="str">
        <f t="shared" si="0"/>
        <v>2023-07-06</v>
      </c>
      <c r="Z15" s="50"/>
    </row>
    <row r="16" spans="1:26" ht="15" thickBot="1" x14ac:dyDescent="0.4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  <c r="Y16" s="57" t="str">
        <f t="shared" si="0"/>
        <v>2023-05-17</v>
      </c>
      <c r="Z16" s="50"/>
    </row>
    <row r="17" spans="1:34" ht="15" thickBot="1" x14ac:dyDescent="0.4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  <c r="Y17" s="57" t="str">
        <f t="shared" si="0"/>
        <v>2023-05-25</v>
      </c>
      <c r="Z17" s="50"/>
      <c r="AA17" s="46" t="s">
        <v>178</v>
      </c>
      <c r="AB17" s="47"/>
      <c r="AC17" s="47"/>
      <c r="AD17" s="47"/>
      <c r="AE17" s="48"/>
      <c r="AF17" s="47"/>
      <c r="AG17" s="47"/>
      <c r="AH17" s="55">
        <f>SUMIFS(H:H, H:H, "&gt;20")</f>
        <v>1473.0000000000002</v>
      </c>
    </row>
    <row r="18" spans="1:34" x14ac:dyDescent="0.3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  <c r="Y18" s="57" t="str">
        <f t="shared" si="0"/>
        <v>2023-06-08</v>
      </c>
      <c r="Z18" s="50"/>
      <c r="AA18" s="49"/>
      <c r="AB18" s="50"/>
      <c r="AC18" s="50"/>
      <c r="AD18" s="50"/>
      <c r="AE18" s="50"/>
      <c r="AF18" s="50"/>
      <c r="AG18" s="50"/>
      <c r="AH18" s="51"/>
    </row>
    <row r="19" spans="1:34" x14ac:dyDescent="0.3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  <c r="Y19" s="57" t="str">
        <f t="shared" si="0"/>
        <v>2023-06-22</v>
      </c>
      <c r="Z19" s="50"/>
      <c r="AA19" s="49"/>
      <c r="AB19" s="50"/>
      <c r="AC19" s="50"/>
      <c r="AD19" s="50"/>
      <c r="AE19" s="50"/>
      <c r="AF19" s="50"/>
      <c r="AG19" s="50"/>
      <c r="AH19" s="51"/>
    </row>
    <row r="20" spans="1:34" x14ac:dyDescent="0.3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  <c r="Y20" s="57" t="str">
        <f t="shared" si="0"/>
        <v>2023-06-14</v>
      </c>
      <c r="Z20" s="50"/>
      <c r="AA20" s="49"/>
      <c r="AB20" s="50"/>
      <c r="AC20" s="50"/>
      <c r="AD20" s="50"/>
      <c r="AE20" s="50"/>
      <c r="AF20" s="50"/>
      <c r="AG20" s="50"/>
      <c r="AH20" s="51"/>
    </row>
    <row r="21" spans="1:34" x14ac:dyDescent="0.3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  <c r="Y21" s="57" t="str">
        <f t="shared" si="0"/>
        <v>2023-06-02</v>
      </c>
      <c r="Z21" s="50"/>
      <c r="AA21" s="49"/>
      <c r="AB21" s="50"/>
      <c r="AC21" s="50"/>
      <c r="AD21" s="50"/>
      <c r="AE21" s="50"/>
      <c r="AF21" s="50"/>
      <c r="AG21" s="50"/>
      <c r="AH21" s="51"/>
    </row>
    <row r="22" spans="1:34" x14ac:dyDescent="0.3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  <c r="Y22" s="57" t="str">
        <f t="shared" si="0"/>
        <v>2023-05-29</v>
      </c>
      <c r="Z22" s="50"/>
      <c r="AA22" s="49"/>
      <c r="AB22" s="50"/>
      <c r="AC22" s="50"/>
      <c r="AD22" s="50"/>
      <c r="AE22" s="50"/>
      <c r="AF22" s="50"/>
      <c r="AG22" s="50"/>
      <c r="AH22" s="51"/>
    </row>
    <row r="23" spans="1:34" x14ac:dyDescent="0.3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  <c r="Y23" s="57" t="str">
        <f t="shared" si="0"/>
        <v>2023-07-03</v>
      </c>
      <c r="Z23" s="50"/>
      <c r="AA23" s="49"/>
      <c r="AB23" s="50"/>
      <c r="AC23" s="50"/>
      <c r="AD23" s="50"/>
      <c r="AE23" s="50"/>
      <c r="AF23" s="50"/>
      <c r="AG23" s="50"/>
      <c r="AH23" s="51"/>
    </row>
    <row r="24" spans="1:34" ht="15" thickBot="1" x14ac:dyDescent="0.4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  <c r="Y24" s="57" t="str">
        <f t="shared" si="0"/>
        <v>2023-07-07</v>
      </c>
      <c r="Z24" s="50"/>
      <c r="AA24" s="52"/>
      <c r="AB24" s="53"/>
      <c r="AC24" s="53"/>
      <c r="AD24" s="53"/>
      <c r="AE24" s="53"/>
      <c r="AF24" s="53"/>
      <c r="AG24" s="53"/>
      <c r="AH24" s="54"/>
    </row>
    <row r="25" spans="1:34" x14ac:dyDescent="0.3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  <c r="Y25" s="57" t="str">
        <f t="shared" si="0"/>
        <v>2023-07-11</v>
      </c>
      <c r="Z25" s="50"/>
    </row>
    <row r="26" spans="1:34" x14ac:dyDescent="0.3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  <c r="Y26" s="57" t="str">
        <f t="shared" si="0"/>
        <v>2023-08-04</v>
      </c>
      <c r="Z26" s="50"/>
    </row>
    <row r="27" spans="1:34" x14ac:dyDescent="0.3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  <c r="Y27" s="57" t="str">
        <f t="shared" si="0"/>
        <v>2023-08-08</v>
      </c>
      <c r="Z27" s="50"/>
    </row>
    <row r="28" spans="1:34" x14ac:dyDescent="0.3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  <c r="Y28" s="57" t="str">
        <f t="shared" si="0"/>
        <v>2023-07-01</v>
      </c>
      <c r="Z28" s="50"/>
    </row>
    <row r="29" spans="1:34" x14ac:dyDescent="0.3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  <c r="Y29" s="57" t="str">
        <f t="shared" si="0"/>
        <v>2023-08-15</v>
      </c>
      <c r="Z29" s="50"/>
    </row>
    <row r="30" spans="1:34" x14ac:dyDescent="0.3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  <c r="Y30" s="57" t="str">
        <f t="shared" si="0"/>
        <v>2023-08-12</v>
      </c>
      <c r="Z30" s="50"/>
    </row>
    <row r="31" spans="1:34" x14ac:dyDescent="0.3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  <c r="Y31" s="57" t="str">
        <f t="shared" si="0"/>
        <v>2023-08-19</v>
      </c>
      <c r="Z31" s="50"/>
    </row>
    <row r="32" spans="1:34" x14ac:dyDescent="0.3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  <c r="Y32" s="57" t="str">
        <f t="shared" si="0"/>
        <v>2023-08-05</v>
      </c>
      <c r="Z32" s="50"/>
    </row>
    <row r="33" spans="1:26" x14ac:dyDescent="0.3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  <c r="Y33" s="57" t="str">
        <f t="shared" si="0"/>
        <v>2023-08-28</v>
      </c>
      <c r="Z33" s="50"/>
    </row>
    <row r="34" spans="1:26" x14ac:dyDescent="0.3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  <c r="Y34" s="57" t="str">
        <f t="shared" si="0"/>
        <v>2023-08-24</v>
      </c>
      <c r="Z34" s="50"/>
    </row>
    <row r="35" spans="1:26" x14ac:dyDescent="0.3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  <c r="Y35" s="57" t="str">
        <f t="shared" si="0"/>
        <v>2023-08-22</v>
      </c>
      <c r="Z35" s="50"/>
    </row>
    <row r="36" spans="1:26" x14ac:dyDescent="0.3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  <c r="Y36" s="57" t="str">
        <f t="shared" si="0"/>
        <v>2023-09-10</v>
      </c>
      <c r="Z36" s="50"/>
    </row>
    <row r="37" spans="1:26" x14ac:dyDescent="0.3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  <c r="Y37" s="57" t="str">
        <f t="shared" si="0"/>
        <v>2023-08-19</v>
      </c>
      <c r="Z37" s="50"/>
    </row>
    <row r="38" spans="1:26" x14ac:dyDescent="0.3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  <c r="Y38" s="57" t="str">
        <f t="shared" si="0"/>
        <v>2023-08-05</v>
      </c>
      <c r="Z38" s="50"/>
    </row>
    <row r="39" spans="1:26" x14ac:dyDescent="0.3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  <c r="Y39" s="57" t="str">
        <f t="shared" si="0"/>
        <v>2023-08-28</v>
      </c>
      <c r="Z39" s="50"/>
    </row>
    <row r="40" spans="1:26" ht="15" thickBot="1" x14ac:dyDescent="0.4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  <c r="Y40" s="58" t="str">
        <f t="shared" si="0"/>
        <v>2023-08-24</v>
      </c>
      <c r="Z40" s="50"/>
    </row>
  </sheetData>
  <conditionalFormatting sqref="A1:X40">
    <cfRule type="expression" dxfId="1" priority="1">
      <formula>AND(A1=0, COLUMN(A1)&lt;&gt;4)</formula>
    </cfRule>
    <cfRule type="expression" dxfId="0" priority="2">
      <formula>A1=-1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5" t="s">
        <v>177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7" zoomScaleNormal="100" workbookViewId="0">
      <selection activeCell="E36" sqref="E36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2" customFormat="1" ht="21" x14ac:dyDescent="0.5">
      <c r="A1" s="43" t="s">
        <v>55</v>
      </c>
      <c r="B1" s="42" t="s">
        <v>164</v>
      </c>
    </row>
    <row r="2" spans="1:7" s="42" customFormat="1" ht="21" x14ac:dyDescent="0.5">
      <c r="B2" s="42" t="s">
        <v>161</v>
      </c>
    </row>
    <row r="3" spans="1:7" ht="14.5" x14ac:dyDescent="0.35">
      <c r="A3" s="1"/>
      <c r="B3" s="1"/>
      <c r="C3" s="1" t="b">
        <f>D3=IFERROR(VLOOKUP($A6, Dataset!$A$2:$F$100, MATCH(B$5, Dataset!$1:$1, 0), FALSE), "")</f>
        <v>1</v>
      </c>
      <c r="D3" s="1"/>
      <c r="E3" s="1"/>
      <c r="F3" s="1"/>
      <c r="G3" s="1"/>
    </row>
    <row r="4" spans="1:7" ht="23.5" x14ac:dyDescent="0.55000000000000004">
      <c r="A4" s="18" t="s">
        <v>162</v>
      </c>
      <c r="B4" s="1"/>
      <c r="C4" s="1"/>
      <c r="D4" s="1"/>
      <c r="E4" s="1"/>
      <c r="F4" s="1"/>
      <c r="G4" s="1"/>
    </row>
    <row r="5" spans="1:7" ht="14.5" x14ac:dyDescent="0.3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5" x14ac:dyDescent="0.35">
      <c r="A6" s="7" t="s">
        <v>40</v>
      </c>
      <c r="B6" s="12">
        <f>IFERROR(VLOOKUP($A6, Dataset!$A$2:$Z$100, MATCH("car1", Dataset!$1:$1, 0), FALSE), "")</f>
        <v>2.7</v>
      </c>
      <c r="C6" s="12">
        <f>IFERROR(VLOOKUP($A6, Dataset!$A$2:$Z$100, MATCH("bus2", Dataset!$1:$1, 0), FALSE), "")</f>
        <v>7.6</v>
      </c>
      <c r="D6" s="12">
        <f>IFERROR(VLOOKUP($A6, Dataset!$A$2:$Z$100, MATCH("rv3", Dataset!$1:$1, 0), FALSE), "")</f>
        <v>4.2</v>
      </c>
      <c r="E6" s="12">
        <f>IFERROR(VLOOKUP($A6, Dataset!$A$2:$Z$100, MATCH("truck2", Dataset!$1:$1, 0), FALSE), "")</f>
        <v>8.9</v>
      </c>
      <c r="F6" s="8">
        <f>IFERROR(VLOOKUP($A6, Dataset!$A$2:$Z$100, MATCH("taxi2", Dataset!$1:$1, 0), FALSE), "")</f>
        <v>4.2</v>
      </c>
    </row>
    <row r="7" spans="1:7" ht="14.5" x14ac:dyDescent="0.35">
      <c r="A7" s="7" t="s">
        <v>4</v>
      </c>
      <c r="B7" s="12">
        <f>IFERROR(VLOOKUP($A7, Dataset!$A$2:$Z$100, MATCH("car1", Dataset!$1:$1, 0), FALSE), "")</f>
        <v>2.7</v>
      </c>
      <c r="C7" s="12">
        <f>IFERROR(VLOOKUP($A7, Dataset!$A$2:$Z$100, MATCH("bus2", Dataset!$1:$1, 0), FALSE), "")</f>
        <v>7.6</v>
      </c>
      <c r="D7" s="12">
        <f>IFERROR(VLOOKUP($A7, Dataset!$A$2:$Z$100, MATCH("rv3", Dataset!$1:$1, 0), FALSE), "")</f>
        <v>4.2</v>
      </c>
      <c r="E7" s="12">
        <f>IFERROR(VLOOKUP($A7, Dataset!$A$2:$Z$100, MATCH("truck2", Dataset!$1:$1, 0), FALSE), "")</f>
        <v>8.9</v>
      </c>
      <c r="F7" s="8">
        <f>IFERROR(VLOOKUP($A7, Dataset!$A$2:$Z$100, MATCH("taxi2", Dataset!$1:$1, 0), FALSE), "")</f>
        <v>4.2</v>
      </c>
    </row>
    <row r="8" spans="1:7" ht="14.5" x14ac:dyDescent="0.35">
      <c r="A8" s="7" t="s">
        <v>7</v>
      </c>
      <c r="B8" s="12">
        <f>IFERROR(VLOOKUP($A8, Dataset!$A$2:$Z$100, MATCH("car1", Dataset!$1:$1, 0), FALSE), "")</f>
        <v>3.6</v>
      </c>
      <c r="C8" s="12">
        <f>IFERROR(VLOOKUP($A8, Dataset!$A$2:$Z$100, MATCH("bus2", Dataset!$1:$1, 0), FALSE), "")</f>
        <v>11.1</v>
      </c>
      <c r="D8" s="12">
        <f>IFERROR(VLOOKUP($A8, Dataset!$A$2:$Z$100, MATCH("rv3", Dataset!$1:$1, 0), FALSE), "")</f>
        <v>5.8</v>
      </c>
      <c r="E8" s="12">
        <f>IFERROR(VLOOKUP($A8, Dataset!$A$2:$Z$100, MATCH("truck2", Dataset!$1:$1, 0), FALSE), "")</f>
        <v>12.2</v>
      </c>
      <c r="F8" s="8">
        <f>IFERROR(VLOOKUP($A8, Dataset!$A$2:$Z$100, MATCH("taxi2", Dataset!$1:$1, 0), FALSE), "")</f>
        <v>5.8</v>
      </c>
    </row>
    <row r="9" spans="1:7" ht="14.5" x14ac:dyDescent="0.35">
      <c r="A9" s="7" t="s">
        <v>8</v>
      </c>
      <c r="B9" s="12">
        <f>IFERROR(VLOOKUP($A9, Dataset!$A$2:$Z$100, MATCH("car1", Dataset!$1:$1, 0), FALSE), "")</f>
        <v>4.9000000000000004</v>
      </c>
      <c r="C9" s="12">
        <f>IFERROR(VLOOKUP($A9, Dataset!$A$2:$Z$100, MATCH("bus2", Dataset!$1:$1, 0), FALSE), "")</f>
        <v>13.3</v>
      </c>
      <c r="D9" s="12">
        <f>IFERROR(VLOOKUP($A9, Dataset!$A$2:$Z$100, MATCH("rv3", Dataset!$1:$1, 0), FALSE), "")</f>
        <v>8.1</v>
      </c>
      <c r="E9" s="12">
        <f>IFERROR(VLOOKUP($A9, Dataset!$A$2:$Z$100, MATCH("truck2", Dataset!$1:$1, 0), FALSE), "")</f>
        <v>17</v>
      </c>
      <c r="F9" s="8">
        <f>IFERROR(VLOOKUP($A9, Dataset!$A$2:$Z$100, MATCH("taxi2", Dataset!$1:$1, 0), FALSE), "")</f>
        <v>8.1</v>
      </c>
    </row>
    <row r="10" spans="1:7" ht="14.5" x14ac:dyDescent="0.35">
      <c r="A10" s="7" t="s">
        <v>11</v>
      </c>
      <c r="B10" s="12">
        <f>IFERROR(VLOOKUP($A10, Dataset!$A$2:$Z$100, MATCH("car1", Dataset!$1:$1, 0), FALSE), "")</f>
        <v>9.4</v>
      </c>
      <c r="C10" s="12">
        <f>IFERROR(VLOOKUP($A10, Dataset!$A$2:$Z$100, MATCH("bus2", Dataset!$1:$1, 0), FALSE), "")</f>
        <v>28.3</v>
      </c>
      <c r="D10" s="12">
        <f>IFERROR(VLOOKUP($A10, Dataset!$A$2:$Z$100, MATCH("rv3", Dataset!$1:$1, 0), FALSE), "")</f>
        <v>16.100000000000001</v>
      </c>
      <c r="E10" s="12">
        <f>IFERROR(VLOOKUP($A10, Dataset!$A$2:$Z$100, MATCH("truck2", Dataset!$1:$1, 0), FALSE), "")</f>
        <v>32.799999999999997</v>
      </c>
      <c r="F10" s="8">
        <f>IFERROR(VLOOKUP($A10, Dataset!$A$2:$Z$100, MATCH("taxi2", Dataset!$1:$1, 0), FALSE), "")</f>
        <v>16.100000000000001</v>
      </c>
    </row>
    <row r="11" spans="1:7" ht="14.5" x14ac:dyDescent="0.35">
      <c r="A11" s="7" t="s">
        <v>12</v>
      </c>
      <c r="B11" s="12">
        <f>IFERROR(VLOOKUP($A11, Dataset!$A$2:$Z$100, MATCH("car1", Dataset!$1:$1, 0), FALSE), "")</f>
        <v>11.6</v>
      </c>
      <c r="C11" s="12">
        <f>IFERROR(VLOOKUP($A11, Dataset!$A$2:$Z$100, MATCH("bus2", Dataset!$1:$1, 0), FALSE), "")</f>
        <v>35.200000000000003</v>
      </c>
      <c r="D11" s="12">
        <f>IFERROR(VLOOKUP($A11, Dataset!$A$2:$Z$100, MATCH("rv3", Dataset!$1:$1, 0), FALSE), "")</f>
        <v>21.3</v>
      </c>
      <c r="E11" s="12">
        <f>IFERROR(VLOOKUP($A11, Dataset!$A$2:$Z$100, MATCH("truck2", Dataset!$1:$1, 0), FALSE), "")</f>
        <v>43</v>
      </c>
      <c r="F11" s="8">
        <f>IFERROR(VLOOKUP($A11, Dataset!$A$2:$Z$100, MATCH("taxi2", Dataset!$1:$1, 0), FALSE), "")</f>
        <v>21.3</v>
      </c>
    </row>
    <row r="12" spans="1:7" ht="14.5" x14ac:dyDescent="0.35">
      <c r="A12" s="7" t="s">
        <v>14</v>
      </c>
      <c r="B12" s="12">
        <f>IFERROR(VLOOKUP($A12, Dataset!$A$2:$Z$100, MATCH("car1", Dataset!$1:$1, 0), FALSE), "")</f>
        <v>18.399999999999999</v>
      </c>
      <c r="C12" s="12">
        <f>IFERROR(VLOOKUP($A12, Dataset!$A$2:$Z$100, MATCH("bus2", Dataset!$1:$1, 0), FALSE), "")</f>
        <v>55.6</v>
      </c>
      <c r="D12" s="12">
        <f>IFERROR(VLOOKUP($A12, Dataset!$A$2:$Z$100, MATCH("rv3", Dataset!$1:$1, 0), FALSE), "")</f>
        <v>33.799999999999997</v>
      </c>
      <c r="E12" s="12">
        <f>IFERROR(VLOOKUP($A12, Dataset!$A$2:$Z$100, MATCH("truck2", Dataset!$1:$1, 0), FALSE), "")</f>
        <v>67.900000000000006</v>
      </c>
      <c r="F12" s="8">
        <f>IFERROR(VLOOKUP($A12, Dataset!$A$2:$Z$100, MATCH("taxi2", Dataset!$1:$1, 0), FALSE), "")</f>
        <v>33.799999999999997</v>
      </c>
    </row>
    <row r="13" spans="1:7" ht="14.5" x14ac:dyDescent="0.35">
      <c r="A13" s="7" t="s">
        <v>15</v>
      </c>
      <c r="B13" s="12">
        <f>IFERROR(VLOOKUP($A13, Dataset!$A$2:$Z$100, MATCH("car1", Dataset!$1:$1, 0), FALSE), "")</f>
        <v>0</v>
      </c>
      <c r="C13" s="12">
        <f>IFERROR(VLOOKUP($A13, Dataset!$A$2:$Z$100, MATCH("bus2", Dataset!$1:$1, 0), FALSE), "")</f>
        <v>0</v>
      </c>
      <c r="D13" s="12">
        <f>IFERROR(VLOOKUP($A13, Dataset!$A$2:$Z$100, MATCH("rv3", Dataset!$1:$1, 0), FALSE), "")</f>
        <v>0</v>
      </c>
      <c r="E13" s="12">
        <f>IFERROR(VLOOKUP($A13, Dataset!$A$2:$Z$100, MATCH("truck2", Dataset!$1:$1, 0), FALSE), "")</f>
        <v>0</v>
      </c>
      <c r="F13" s="8">
        <f>IFERROR(VLOOKUP($A13, Dataset!$A$2:$Z$100, MATCH("taxi2", Dataset!$1:$1, 0), FALSE), "")</f>
        <v>0</v>
      </c>
    </row>
    <row r="14" spans="1:7" ht="14.5" x14ac:dyDescent="0.35">
      <c r="A14" s="7" t="s">
        <v>16</v>
      </c>
      <c r="B14" s="12">
        <f>IFERROR(VLOOKUP($A14, Dataset!$A$2:$Z$100, MATCH("car1", Dataset!$1:$1, 0), FALSE), "")</f>
        <v>21.9</v>
      </c>
      <c r="C14" s="12">
        <f>IFERROR(VLOOKUP($A14, Dataset!$A$2:$Z$100, MATCH("bus2", Dataset!$1:$1, 0), FALSE), "")</f>
        <v>61.5</v>
      </c>
      <c r="D14" s="12">
        <f>IFERROR(VLOOKUP($A14, Dataset!$A$2:$Z$100, MATCH("rv3", Dataset!$1:$1, 0), FALSE), "")</f>
        <v>40.1</v>
      </c>
      <c r="E14" s="12">
        <f>IFERROR(VLOOKUP($A14, Dataset!$A$2:$Z$100, MATCH("truck2", Dataset!$1:$1, 0), FALSE), "")</f>
        <v>76.599999999999994</v>
      </c>
      <c r="F14" s="8">
        <f>IFERROR(VLOOKUP($A14, Dataset!$A$2:$Z$100, MATCH("taxi2", Dataset!$1:$1, 0), FALSE), "")</f>
        <v>40.1</v>
      </c>
    </row>
    <row r="15" spans="1:7" ht="14.5" x14ac:dyDescent="0.35">
      <c r="A15" s="7" t="s">
        <v>18</v>
      </c>
      <c r="B15" s="12">
        <f>IFERROR(VLOOKUP($A15, Dataset!$A$2:$Z$100, MATCH("car1", Dataset!$1:$1, 0), FALSE), "")</f>
        <v>26.8</v>
      </c>
      <c r="C15" s="12">
        <f>IFERROR(VLOOKUP($A15, Dataset!$A$2:$Z$100, MATCH("bus2", Dataset!$1:$1, 0), FALSE), "")</f>
        <v>79.599999999999994</v>
      </c>
      <c r="D15" s="12">
        <f>IFERROR(VLOOKUP($A15, Dataset!$A$2:$Z$100, MATCH("rv3", Dataset!$1:$1, 0), FALSE), "")</f>
        <v>47.9</v>
      </c>
      <c r="E15" s="12">
        <f>IFERROR(VLOOKUP($A15, Dataset!$A$2:$Z$100, MATCH("truck2", Dataset!$1:$1, 0), FALSE), "")</f>
        <v>96.8</v>
      </c>
      <c r="F15" s="8">
        <f>IFERROR(VLOOKUP($A15, Dataset!$A$2:$Z$100, MATCH("taxi2", Dataset!$1:$1, 0), FALSE), "")</f>
        <v>47.9</v>
      </c>
    </row>
    <row r="16" spans="1:7" ht="14.5" x14ac:dyDescent="0.35">
      <c r="A16" s="7" t="s">
        <v>20</v>
      </c>
      <c r="B16" s="12">
        <f>IFERROR(VLOOKUP($A16, Dataset!$A$2:$Z$100, MATCH("car1", Dataset!$1:$1, 0), FALSE), "")</f>
        <v>28.5</v>
      </c>
      <c r="C16" s="12">
        <f>IFERROR(VLOOKUP($A16, Dataset!$A$2:$Z$100, MATCH("bus2", Dataset!$1:$1, 0), FALSE), "")</f>
        <v>85.4</v>
      </c>
      <c r="D16" s="12">
        <f>IFERROR(VLOOKUP($A16, Dataset!$A$2:$Z$100, MATCH("rv3", Dataset!$1:$1, 0), FALSE), "")</f>
        <v>52.3</v>
      </c>
      <c r="E16" s="12">
        <f>IFERROR(VLOOKUP($A16, Dataset!$A$2:$Z$100, MATCH("truck2", Dataset!$1:$1, 0), FALSE), "")</f>
        <v>106.1</v>
      </c>
      <c r="F16" s="8">
        <f>IFERROR(VLOOKUP($A16, Dataset!$A$2:$Z$100, MATCH("taxi2", Dataset!$1:$1, 0), FALSE), "")</f>
        <v>52.3</v>
      </c>
    </row>
    <row r="17" spans="1:6" ht="14.5" x14ac:dyDescent="0.35">
      <c r="A17" s="7" t="s">
        <v>22</v>
      </c>
      <c r="B17" s="12">
        <f>IFERROR(VLOOKUP($A17, Dataset!$A$2:$Z$100, MATCH("car1", Dataset!$1:$1, 0), FALSE), "")</f>
        <v>30.7</v>
      </c>
      <c r="C17" s="12">
        <f>IFERROR(VLOOKUP($A17, Dataset!$A$2:$Z$100, MATCH("bus2", Dataset!$1:$1, 0), FALSE), "")</f>
        <v>92.1</v>
      </c>
      <c r="D17" s="12">
        <f>IFERROR(VLOOKUP($A17, Dataset!$A$2:$Z$100, MATCH("rv3", Dataset!$1:$1, 0), FALSE), "")</f>
        <v>57</v>
      </c>
      <c r="E17" s="12">
        <f>IFERROR(VLOOKUP($A17, Dataset!$A$2:$Z$100, MATCH("truck2", Dataset!$1:$1, 0), FALSE), "")</f>
        <v>115.1</v>
      </c>
      <c r="F17" s="8">
        <f>IFERROR(VLOOKUP($A17, Dataset!$A$2:$Z$100, MATCH("taxi2", Dataset!$1:$1, 0), FALSE), "")</f>
        <v>57</v>
      </c>
    </row>
    <row r="18" spans="1:6" ht="14.5" x14ac:dyDescent="0.35">
      <c r="A18" s="7" t="s">
        <v>23</v>
      </c>
      <c r="B18" s="12">
        <f>IFERROR(VLOOKUP($A18, Dataset!$A$2:$Z$100, MATCH("car1", Dataset!$1:$1, 0), FALSE), "")</f>
        <v>33.799999999999997</v>
      </c>
      <c r="C18" s="12">
        <f>IFERROR(VLOOKUP($A18, Dataset!$A$2:$Z$100, MATCH("bus2", Dataset!$1:$1, 0), FALSE), "")</f>
        <v>101.3</v>
      </c>
      <c r="D18" s="12">
        <f>IFERROR(VLOOKUP($A18, Dataset!$A$2:$Z$100, MATCH("rv3", Dataset!$1:$1, 0), FALSE), "")</f>
        <v>61.4</v>
      </c>
      <c r="E18" s="12">
        <f>IFERROR(VLOOKUP($A18, Dataset!$A$2:$Z$100, MATCH("truck2", Dataset!$1:$1, 0), FALSE), "")</f>
        <v>124.4</v>
      </c>
      <c r="F18" s="8">
        <f>IFERROR(VLOOKUP($A18, Dataset!$A$2:$Z$100, MATCH("taxi2", Dataset!$1:$1, 0), FALSE), "")</f>
        <v>61.4</v>
      </c>
    </row>
    <row r="19" spans="1:6" ht="14.5" x14ac:dyDescent="0.35">
      <c r="A19" s="7" t="s">
        <v>24</v>
      </c>
      <c r="B19" s="12">
        <f>IFERROR(VLOOKUP($A19, Dataset!$A$2:$Z$100, MATCH("car1", Dataset!$1:$1, 0), FALSE), "")</f>
        <v>34.700000000000003</v>
      </c>
      <c r="C19" s="12">
        <f>IFERROR(VLOOKUP($A19, Dataset!$A$2:$Z$100, MATCH("bus2", Dataset!$1:$1, 0), FALSE), "")</f>
        <v>106.1</v>
      </c>
      <c r="D19" s="12">
        <f>IFERROR(VLOOKUP($A19, Dataset!$A$2:$Z$100, MATCH("rv3", Dataset!$1:$1, 0), FALSE), "")</f>
        <v>63.6</v>
      </c>
      <c r="E19" s="12">
        <f>IFERROR(VLOOKUP($A19, Dataset!$A$2:$Z$100, MATCH("truck2", Dataset!$1:$1, 0), FALSE), "")</f>
        <v>128.6</v>
      </c>
      <c r="F19" s="8">
        <f>IFERROR(VLOOKUP($A19, Dataset!$A$2:$Z$100, MATCH("taxi2", Dataset!$1:$1, 0), FALSE), "")</f>
        <v>63.6</v>
      </c>
    </row>
    <row r="20" spans="1:6" ht="14.5" x14ac:dyDescent="0.35">
      <c r="A20" s="7" t="s">
        <v>28</v>
      </c>
      <c r="B20" s="12">
        <f>IFERROR(VLOOKUP($A20, Dataset!$A$2:$Z$100, MATCH("car1", Dataset!$1:$1, 0), FALSE), "")</f>
        <v>0</v>
      </c>
      <c r="C20" s="12">
        <f>IFERROR(VLOOKUP($A20, Dataset!$A$2:$Z$100, MATCH("bus2", Dataset!$1:$1, 0), FALSE), "")</f>
        <v>0</v>
      </c>
      <c r="D20" s="12">
        <f>IFERROR(VLOOKUP($A20, Dataset!$A$2:$Z$100, MATCH("rv3", Dataset!$1:$1, 0), FALSE), "")</f>
        <v>0</v>
      </c>
      <c r="E20" s="12">
        <f>IFERROR(VLOOKUP($A20, Dataset!$A$2:$Z$100, MATCH("truck2", Dataset!$1:$1, 0), FALSE), "")</f>
        <v>0</v>
      </c>
      <c r="F20" s="8">
        <f>IFERROR(VLOOKUP($A20, Dataset!$A$2:$Z$100, MATCH("taxi2", Dataset!$1:$1, 0), FALSE), "")</f>
        <v>0</v>
      </c>
    </row>
    <row r="21" spans="1:6" ht="14.5" x14ac:dyDescent="0.35">
      <c r="A21" s="7" t="s">
        <v>57</v>
      </c>
      <c r="B21" s="12">
        <f>IFERROR(VLOOKUP($A21, Dataset!$A$2:$Z$100, MATCH("car1", Dataset!$1:$1, 0), FALSE), "")</f>
        <v>41.3</v>
      </c>
      <c r="C21" s="12">
        <f>IFERROR(VLOOKUP($A21, Dataset!$A$2:$Z$100, MATCH("bus2", Dataset!$1:$1, 0), FALSE), "")</f>
        <v>124.4</v>
      </c>
      <c r="D21" s="12">
        <f>IFERROR(VLOOKUP($A21, Dataset!$A$2:$Z$100, MATCH("rv3", Dataset!$1:$1, 0), FALSE), "")</f>
        <v>75</v>
      </c>
      <c r="E21" s="12">
        <f>IFERROR(VLOOKUP($A21, Dataset!$A$2:$Z$100, MATCH("truck2", Dataset!$1:$1, 0), FALSE), "")</f>
        <v>151.5</v>
      </c>
      <c r="F21" s="8">
        <f>IFERROR(VLOOKUP($A21, Dataset!$A$2:$Z$100, MATCH("taxi2", Dataset!$1:$1, 0), FALSE), "")</f>
        <v>75</v>
      </c>
    </row>
    <row r="22" spans="1:6" ht="14.5" x14ac:dyDescent="0.35">
      <c r="A22" s="7" t="s">
        <v>58</v>
      </c>
      <c r="B22" s="12">
        <f>IFERROR(VLOOKUP($A22, Dataset!$A$2:$Z$100, MATCH("car1", Dataset!$1:$1, 0), FALSE), "")</f>
        <v>-1</v>
      </c>
      <c r="C22" s="12">
        <f>IFERROR(VLOOKUP($A22, Dataset!$A$2:$Z$100, MATCH("bus2", Dataset!$1:$1, 0), FALSE), "")</f>
        <v>-1</v>
      </c>
      <c r="D22" s="12">
        <f>IFERROR(VLOOKUP($A22, Dataset!$A$2:$Z$100, MATCH("rv3", Dataset!$1:$1, 0), FALSE), "")</f>
        <v>-1</v>
      </c>
      <c r="E22" s="12">
        <f>IFERROR(VLOOKUP($A22, Dataset!$A$2:$Z$100, MATCH("truck2", Dataset!$1:$1, 0), FALSE), "")</f>
        <v>-1</v>
      </c>
      <c r="F22" s="8">
        <f>IFERROR(VLOOKUP($A22, Dataset!$A$2:$Z$100, MATCH("taxi2", Dataset!$1:$1, 0), FALSE), "")</f>
        <v>-1</v>
      </c>
    </row>
    <row r="23" spans="1:6" ht="14.5" x14ac:dyDescent="0.35">
      <c r="A23" s="7" t="s">
        <v>31</v>
      </c>
      <c r="B23" s="12">
        <f>IFERROR(VLOOKUP($A23, Dataset!$A$2:$Z$100, MATCH("car1", Dataset!$1:$1, 0), FALSE), "")</f>
        <v>45</v>
      </c>
      <c r="C23" s="12">
        <f>IFERROR(VLOOKUP($A23, Dataset!$A$2:$Z$100, MATCH("bus2", Dataset!$1:$1, 0), FALSE), "")</f>
        <v>133.4</v>
      </c>
      <c r="D23" s="12">
        <f>IFERROR(VLOOKUP($A23, Dataset!$A$2:$Z$100, MATCH("rv3", Dataset!$1:$1, 0), FALSE), "")</f>
        <v>79.400000000000006</v>
      </c>
      <c r="E23" s="12">
        <f>IFERROR(VLOOKUP($A23, Dataset!$A$2:$Z$100, MATCH("truck2", Dataset!$1:$1, 0), FALSE), "")</f>
        <v>160.9</v>
      </c>
      <c r="F23" s="8">
        <f>IFERROR(VLOOKUP($A23, Dataset!$A$2:$Z$100, MATCH("taxi2", Dataset!$1:$1, 0), FALSE), "")</f>
        <v>79.400000000000006</v>
      </c>
    </row>
    <row r="24" spans="1:6" ht="14.5" x14ac:dyDescent="0.35">
      <c r="A24" s="7" t="s">
        <v>32</v>
      </c>
      <c r="B24" s="12">
        <f>IFERROR(VLOOKUP($A24, Dataset!$A$2:$Z$100, MATCH("car1", Dataset!$1:$1, 0), FALSE), "")</f>
        <v>-1</v>
      </c>
      <c r="C24" s="12">
        <f>IFERROR(VLOOKUP($A24, Dataset!$A$2:$Z$100, MATCH("bus2", Dataset!$1:$1, 0), FALSE), "")</f>
        <v>-1</v>
      </c>
      <c r="D24" s="12">
        <f>IFERROR(VLOOKUP($A24, Dataset!$A$2:$Z$100, MATCH("rv3", Dataset!$1:$1, 0), FALSE), "")</f>
        <v>-1</v>
      </c>
      <c r="E24" s="12">
        <f>IFERROR(VLOOKUP($A24, Dataset!$A$2:$Z$100, MATCH("truck2", Dataset!$1:$1, 0), FALSE), "")</f>
        <v>-1</v>
      </c>
      <c r="F24" s="8">
        <f>IFERROR(VLOOKUP($A24, Dataset!$A$2:$Z$100, MATCH("taxi2", Dataset!$1:$1, 0), FALSE), "")</f>
        <v>-1</v>
      </c>
    </row>
    <row r="25" spans="1:6" ht="14.5" x14ac:dyDescent="0.35">
      <c r="A25" s="7" t="s">
        <v>34</v>
      </c>
      <c r="B25" s="12">
        <f>IFERROR(VLOOKUP($A25, Dataset!$A$2:$Z$100, MATCH("car1", Dataset!$1:$1, 0), FALSE), "")</f>
        <v>43.3</v>
      </c>
      <c r="C25" s="12">
        <f>IFERROR(VLOOKUP($A25, Dataset!$A$2:$Z$100, MATCH("bus2", Dataset!$1:$1, 0), FALSE), "")</f>
        <v>128.6</v>
      </c>
      <c r="D25" s="12">
        <f>IFERROR(VLOOKUP($A25, Dataset!$A$2:$Z$100, MATCH("rv3", Dataset!$1:$1, 0), FALSE), "")</f>
        <v>79.400000000000006</v>
      </c>
      <c r="E25" s="12">
        <f>IFERROR(VLOOKUP($A25, Dataset!$A$2:$Z$100, MATCH("truck2", Dataset!$1:$1, 0), FALSE), "")</f>
        <v>160.9</v>
      </c>
      <c r="F25" s="8">
        <f>IFERROR(VLOOKUP($A25, Dataset!$A$2:$Z$100, MATCH("taxi2", Dataset!$1:$1, 0), FALSE), "")</f>
        <v>79.400000000000006</v>
      </c>
    </row>
    <row r="26" spans="1:6" ht="14.5" x14ac:dyDescent="0.35">
      <c r="A26" s="7" t="s">
        <v>37</v>
      </c>
      <c r="B26" s="12">
        <f>IFERROR(VLOOKUP($A26, Dataset!$A$2:$Z$100, MATCH("car1", Dataset!$1:$1, 0), FALSE), "")</f>
        <v>49.1</v>
      </c>
      <c r="C26" s="12">
        <f>IFERROR(VLOOKUP($A26, Dataset!$A$2:$Z$100, MATCH("bus2", Dataset!$1:$1, 0), FALSE), "")</f>
        <v>146.80000000000001</v>
      </c>
      <c r="D26" s="12">
        <f>IFERROR(VLOOKUP($A26, Dataset!$A$2:$Z$100, MATCH("rv3", Dataset!$1:$1, 0), FALSE), "")</f>
        <v>90.9</v>
      </c>
      <c r="E26" s="12">
        <f>IFERROR(VLOOKUP($A26, Dataset!$A$2:$Z$100, MATCH("truck2", Dataset!$1:$1, 0), FALSE), "")</f>
        <v>183.5</v>
      </c>
      <c r="F26" s="8">
        <f>IFERROR(VLOOKUP($A26, Dataset!$A$2:$Z$100, MATCH("taxi2", Dataset!$1:$1, 0), FALSE), "")</f>
        <v>90.9</v>
      </c>
    </row>
    <row r="27" spans="1:6" ht="14.5" x14ac:dyDescent="0.35">
      <c r="A27" s="7" t="s">
        <v>39</v>
      </c>
      <c r="B27" s="12">
        <f>IFERROR(VLOOKUP($A27, Dataset!$A$2:$Z$100, MATCH("car1", Dataset!$1:$1, 0), FALSE), "")</f>
        <v>51.8</v>
      </c>
      <c r="C27" s="12">
        <f>IFERROR(VLOOKUP($A27, Dataset!$A$2:$Z$100, MATCH("bus2", Dataset!$1:$1, 0), FALSE), "")</f>
        <v>156.4</v>
      </c>
      <c r="D27" s="12">
        <f>IFERROR(VLOOKUP($A27, Dataset!$A$2:$Z$100, MATCH("rv3", Dataset!$1:$1, 0), FALSE), "")</f>
        <v>93.1</v>
      </c>
      <c r="E27" s="12">
        <f>IFERROR(VLOOKUP($A27, Dataset!$A$2:$Z$100, MATCH("truck2", Dataset!$1:$1, 0), FALSE), "")</f>
        <v>188.1</v>
      </c>
      <c r="F27" s="8">
        <f>IFERROR(VLOOKUP($A27, Dataset!$A$2:$Z$100, MATCH("taxi2", Dataset!$1:$1, 0), FALSE), "")</f>
        <v>93.1</v>
      </c>
    </row>
    <row r="28" spans="1:6" ht="14.5" x14ac:dyDescent="0.35">
      <c r="A28" s="19" t="s">
        <v>82</v>
      </c>
      <c r="B28" s="32">
        <f>MIN(B6:B27)</f>
        <v>-1</v>
      </c>
      <c r="C28" s="32">
        <f t="shared" ref="C28:F28" si="0">MIN(C6:C27)</f>
        <v>-1</v>
      </c>
      <c r="D28" s="32">
        <f t="shared" si="0"/>
        <v>-1</v>
      </c>
      <c r="E28" s="32">
        <f t="shared" si="0"/>
        <v>-1</v>
      </c>
      <c r="F28" s="32">
        <f t="shared" si="0"/>
        <v>-1</v>
      </c>
    </row>
    <row r="29" spans="1:6" ht="14.5" x14ac:dyDescent="0.35">
      <c r="A29" s="19" t="s">
        <v>83</v>
      </c>
      <c r="B29" s="32">
        <f>MAX(B6:B27)</f>
        <v>51.8</v>
      </c>
      <c r="C29" s="32">
        <f t="shared" ref="C29:F29" si="1">MAX(C6:C27)</f>
        <v>156.4</v>
      </c>
      <c r="D29" s="32">
        <f t="shared" si="1"/>
        <v>93.1</v>
      </c>
      <c r="E29" s="32">
        <f t="shared" si="1"/>
        <v>188.1</v>
      </c>
      <c r="F29" s="32">
        <f t="shared" si="1"/>
        <v>93.1</v>
      </c>
    </row>
    <row r="30" spans="1:6" ht="14.5" x14ac:dyDescent="0.35">
      <c r="A30" s="19" t="s">
        <v>84</v>
      </c>
      <c r="B30" s="32">
        <f>AVERAGE(B6:B27)</f>
        <v>20.827272727272728</v>
      </c>
      <c r="C30" s="32">
        <f t="shared" ref="C30:F30" si="2">AVERAGE(C6:C27)</f>
        <v>62.377272727272725</v>
      </c>
      <c r="D30" s="32">
        <f t="shared" si="2"/>
        <v>37.800000000000004</v>
      </c>
      <c r="E30" s="32">
        <f t="shared" si="2"/>
        <v>76.418181818181822</v>
      </c>
      <c r="F30" s="32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8" sqref="B8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2" customFormat="1" ht="21" x14ac:dyDescent="0.5">
      <c r="A1" s="43" t="s">
        <v>56</v>
      </c>
      <c r="B1" s="42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4" t="s">
        <v>53</v>
      </c>
      <c r="B5" s="41" t="s">
        <v>180</v>
      </c>
    </row>
    <row r="6" spans="1:10" ht="18.5" x14ac:dyDescent="0.45">
      <c r="A6" s="44" t="s">
        <v>153</v>
      </c>
      <c r="B6" s="41" t="s">
        <v>181</v>
      </c>
    </row>
    <row r="7" spans="1:10" ht="18.5" x14ac:dyDescent="0.45">
      <c r="A7" s="44"/>
      <c r="B7" s="41"/>
    </row>
    <row r="9" spans="1:10" ht="23.5" x14ac:dyDescent="0.55000000000000004">
      <c r="A9" s="18" t="s">
        <v>165</v>
      </c>
      <c r="I9" s="2"/>
      <c r="J9" s="2"/>
    </row>
    <row r="10" spans="1:10" x14ac:dyDescent="0.35">
      <c r="A10" s="34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5" x14ac:dyDescent="0.55000000000000004">
      <c r="A14" s="18" t="s">
        <v>162</v>
      </c>
    </row>
    <row r="15" spans="1:10" x14ac:dyDescent="0.3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5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5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5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5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5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5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5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5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5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5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5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5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5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5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5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5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5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5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5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5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5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5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5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5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5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5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5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5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5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5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5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5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5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5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5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5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5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5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5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4" zoomScaleNormal="100" workbookViewId="0">
      <selection activeCell="B7" sqref="B7"/>
    </sheetView>
  </sheetViews>
  <sheetFormatPr defaultColWidth="11" defaultRowHeight="13" x14ac:dyDescent="0.3"/>
  <cols>
    <col min="1" max="1" width="28.19921875" style="2" bestFit="1" customWidth="1"/>
    <col min="2" max="2" width="54.8984375" style="2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3" t="s">
        <v>85</v>
      </c>
      <c r="B1" s="42" t="s">
        <v>167</v>
      </c>
    </row>
    <row r="2" spans="1:3" ht="18.5" x14ac:dyDescent="0.45">
      <c r="B2" s="41" t="s">
        <v>166</v>
      </c>
    </row>
    <row r="5" spans="1:3" ht="14.5" x14ac:dyDescent="0.35">
      <c r="B5" s="1" t="s">
        <v>151</v>
      </c>
    </row>
    <row r="6" spans="1:3" ht="14.5" x14ac:dyDescent="0.35">
      <c r="A6" s="3" t="s">
        <v>53</v>
      </c>
      <c r="B6" s="1" t="s">
        <v>183</v>
      </c>
    </row>
    <row r="7" spans="1:3" ht="72.5" x14ac:dyDescent="0.3">
      <c r="A7" s="62" t="s">
        <v>153</v>
      </c>
      <c r="B7" s="61" t="s">
        <v>182</v>
      </c>
    </row>
    <row r="10" spans="1:3" ht="23.5" x14ac:dyDescent="0.55000000000000004">
      <c r="A10" s="18" t="s">
        <v>162</v>
      </c>
    </row>
    <row r="11" spans="1:3" ht="14.5" x14ac:dyDescent="0.35">
      <c r="A11" s="33" t="s">
        <v>86</v>
      </c>
      <c r="B11" s="17" t="s">
        <v>87</v>
      </c>
      <c r="C11" s="17" t="s">
        <v>88</v>
      </c>
    </row>
    <row r="12" spans="1:3" ht="14.5" x14ac:dyDescent="0.35">
      <c r="A12" s="33">
        <v>44927</v>
      </c>
      <c r="B12" s="17" t="s">
        <v>59</v>
      </c>
      <c r="C12" s="17">
        <v>200</v>
      </c>
    </row>
    <row r="13" spans="1:3" ht="14.5" x14ac:dyDescent="0.35">
      <c r="A13" s="33">
        <v>44928</v>
      </c>
      <c r="B13" s="17" t="s">
        <v>60</v>
      </c>
      <c r="C13" s="17" t="e">
        <v>#N/A</v>
      </c>
    </row>
    <row r="14" spans="1:3" ht="14.5" x14ac:dyDescent="0.35">
      <c r="A14" s="33">
        <v>44929</v>
      </c>
      <c r="B14" s="17" t="s">
        <v>61</v>
      </c>
      <c r="C14" s="17">
        <v>50</v>
      </c>
    </row>
    <row r="15" spans="1:3" ht="14.5" x14ac:dyDescent="0.35">
      <c r="A15" s="33">
        <v>44930</v>
      </c>
      <c r="B15" s="17" t="s">
        <v>62</v>
      </c>
      <c r="C15" s="17" t="e">
        <v>#N/A</v>
      </c>
    </row>
    <row r="16" spans="1:3" ht="14.5" x14ac:dyDescent="0.35">
      <c r="A16" s="33">
        <v>44931</v>
      </c>
      <c r="B16" s="17" t="s">
        <v>63</v>
      </c>
      <c r="C16" s="17">
        <v>10</v>
      </c>
    </row>
    <row r="17" spans="1:3" ht="14.5" x14ac:dyDescent="0.35">
      <c r="A17" s="33">
        <v>44932</v>
      </c>
      <c r="B17" s="17" t="s">
        <v>154</v>
      </c>
      <c r="C17" s="17">
        <v>150</v>
      </c>
    </row>
    <row r="18" spans="1:3" ht="14.5" x14ac:dyDescent="0.35">
      <c r="A18" s="33">
        <v>44933</v>
      </c>
      <c r="B18" s="17" t="s">
        <v>155</v>
      </c>
      <c r="C18" s="17">
        <v>80</v>
      </c>
    </row>
    <row r="19" spans="1:3" ht="14.5" x14ac:dyDescent="0.35">
      <c r="A19" s="33">
        <v>44934</v>
      </c>
      <c r="B19" s="17" t="s">
        <v>156</v>
      </c>
      <c r="C19" s="17" t="e">
        <v>#N/A</v>
      </c>
    </row>
    <row r="20" spans="1:3" ht="14.5" x14ac:dyDescent="0.35">
      <c r="A20" s="33">
        <v>44935</v>
      </c>
      <c r="B20" s="17" t="s">
        <v>157</v>
      </c>
      <c r="C20" s="17">
        <v>30</v>
      </c>
    </row>
    <row r="21" spans="1:3" ht="14.5" x14ac:dyDescent="0.35">
      <c r="A21" s="33">
        <v>44936</v>
      </c>
      <c r="B21" s="17" t="s">
        <v>158</v>
      </c>
      <c r="C21" s="17" t="e">
        <v>#N/A</v>
      </c>
    </row>
    <row r="22" spans="1:3" ht="14.5" x14ac:dyDescent="0.35">
      <c r="B22" s="17" t="s">
        <v>159</v>
      </c>
      <c r="C22" s="25" cm="1">
        <f t="array" ref="C22">SUM(_xlfn.IFNA(C12:C21,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11" zoomScaleNormal="100" workbookViewId="0">
      <selection activeCell="G23" sqref="G23"/>
    </sheetView>
  </sheetViews>
  <sheetFormatPr defaultColWidth="11" defaultRowHeight="13" x14ac:dyDescent="0.3"/>
  <cols>
    <col min="1" max="1" width="28.19921875" style="2" bestFit="1" customWidth="1"/>
    <col min="2" max="2" width="11" style="2"/>
    <col min="3" max="3" width="25.69921875" style="2" customWidth="1"/>
    <col min="4" max="16384" width="11" style="2"/>
  </cols>
  <sheetData>
    <row r="1" spans="1:14" ht="21" x14ac:dyDescent="0.5">
      <c r="A1" s="43" t="s">
        <v>98</v>
      </c>
      <c r="B1" s="42" t="s">
        <v>175</v>
      </c>
    </row>
    <row r="3" spans="1:14" ht="14.5" x14ac:dyDescent="0.35">
      <c r="B3" s="1" t="s">
        <v>151</v>
      </c>
    </row>
    <row r="4" spans="1:14" ht="18.5" x14ac:dyDescent="0.45">
      <c r="A4" s="44" t="s">
        <v>53</v>
      </c>
      <c r="B4" s="1"/>
      <c r="C4" s="2" t="s">
        <v>184</v>
      </c>
    </row>
    <row r="5" spans="1:14" ht="104" x14ac:dyDescent="0.35">
      <c r="A5" s="60" t="s">
        <v>153</v>
      </c>
      <c r="B5" s="1"/>
      <c r="C5" s="59" t="s">
        <v>185</v>
      </c>
    </row>
    <row r="6" spans="1:14" ht="14.5" x14ac:dyDescent="0.35">
      <c r="A6" s="3"/>
      <c r="B6" s="1"/>
    </row>
    <row r="8" spans="1:14" ht="23.5" x14ac:dyDescent="0.55000000000000004">
      <c r="A8" s="18" t="s">
        <v>162</v>
      </c>
      <c r="M8" s="18" t="s">
        <v>163</v>
      </c>
    </row>
    <row r="9" spans="1:14" ht="14.5" x14ac:dyDescent="0.3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5" x14ac:dyDescent="0.3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5" x14ac:dyDescent="0.3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5" x14ac:dyDescent="0.3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5" x14ac:dyDescent="0.3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5" x14ac:dyDescent="0.3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5" x14ac:dyDescent="0.3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5" x14ac:dyDescent="0.3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5" x14ac:dyDescent="0.3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5" x14ac:dyDescent="0.3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5" x14ac:dyDescent="0.55000000000000004">
      <c r="A21" s="18" t="s">
        <v>168</v>
      </c>
    </row>
    <row r="22" spans="1:14" ht="14.5" x14ac:dyDescent="0.35">
      <c r="A22" s="14" t="s">
        <v>100</v>
      </c>
      <c r="B22" s="17" t="s">
        <v>101</v>
      </c>
      <c r="C22" s="16" t="s">
        <v>102</v>
      </c>
    </row>
    <row r="23" spans="1:14" ht="14.5" x14ac:dyDescent="0.35">
      <c r="A23" s="7">
        <v>10100</v>
      </c>
      <c r="B23" s="12">
        <v>10102</v>
      </c>
      <c r="C23" s="45">
        <f>INDEX($A$9:$J$18, MATCH(VLOOKUP(A23, $M$9:$N$18, 2, FALSE), $A$9:$A$18, 0), MATCH(VLOOKUP(B23, $M$9:$N$18, 2, FALSE), $A$9:$J$9, 0))</f>
        <v>95</v>
      </c>
    </row>
    <row r="24" spans="1:14" ht="14.5" x14ac:dyDescent="0.35">
      <c r="A24" s="7">
        <v>10100</v>
      </c>
      <c r="B24" s="12">
        <v>10104</v>
      </c>
      <c r="C24" s="45">
        <f>INDEX($A$9:$J$18, MATCH(VLOOKUP(A24, $M$9:$N$18, 2, FALSE), $A$9:$A$18, 0), MATCH(VLOOKUP(B24, $M$9:$N$18, 2, FALSE), $A$9:$J$9, 0))</f>
        <v>-1</v>
      </c>
    </row>
    <row r="25" spans="1:14" ht="14.5" x14ac:dyDescent="0.35">
      <c r="A25" s="7">
        <v>10108</v>
      </c>
      <c r="B25" s="12">
        <v>10102</v>
      </c>
      <c r="C25" s="45">
        <f t="shared" ref="C24:C35" si="0">INDEX($A$9:$J$18, MATCH(VLOOKUP(A25, $M$9:$N$18, 2, FALSE), $A$9:$A$18, 0), MATCH(VLOOKUP(B25, $M$9:$N$18, 2, FALSE), $A$9:$J$9, 0))</f>
        <v>160</v>
      </c>
    </row>
    <row r="26" spans="1:14" ht="14.5" x14ac:dyDescent="0.35">
      <c r="A26" s="7">
        <v>10100</v>
      </c>
      <c r="B26" s="12">
        <v>10106</v>
      </c>
      <c r="C26" s="45">
        <f t="shared" si="0"/>
        <v>185</v>
      </c>
    </row>
    <row r="27" spans="1:14" ht="14.5" x14ac:dyDescent="0.35">
      <c r="A27" s="7">
        <v>10108</v>
      </c>
      <c r="B27" s="12">
        <v>10110</v>
      </c>
      <c r="C27" s="45">
        <f t="shared" si="0"/>
        <v>50</v>
      </c>
    </row>
    <row r="28" spans="1:14" ht="14.5" x14ac:dyDescent="0.35">
      <c r="A28" s="7">
        <v>10102</v>
      </c>
      <c r="B28" s="12">
        <v>10104</v>
      </c>
      <c r="C28" s="45">
        <f t="shared" si="0"/>
        <v>-1</v>
      </c>
    </row>
    <row r="29" spans="1:14" ht="14.5" x14ac:dyDescent="0.35">
      <c r="A29" s="7">
        <v>10106</v>
      </c>
      <c r="B29" s="12">
        <v>10108</v>
      </c>
      <c r="C29" s="45">
        <f t="shared" si="0"/>
        <v>70</v>
      </c>
    </row>
    <row r="30" spans="1:14" ht="14.5" x14ac:dyDescent="0.35">
      <c r="A30" s="7">
        <v>10102</v>
      </c>
      <c r="B30" s="12">
        <v>10106</v>
      </c>
      <c r="C30" s="45">
        <f t="shared" si="0"/>
        <v>90</v>
      </c>
    </row>
    <row r="31" spans="1:14" ht="14.5" x14ac:dyDescent="0.35">
      <c r="A31" s="7">
        <v>10110</v>
      </c>
      <c r="B31" s="12">
        <v>10114</v>
      </c>
      <c r="C31" s="45">
        <f t="shared" si="0"/>
        <v>180</v>
      </c>
    </row>
    <row r="32" spans="1:14" ht="14.5" x14ac:dyDescent="0.35">
      <c r="A32" s="7">
        <v>10104</v>
      </c>
      <c r="B32" s="12">
        <v>10106</v>
      </c>
      <c r="C32" s="45">
        <f t="shared" si="0"/>
        <v>60</v>
      </c>
    </row>
    <row r="33" spans="1:3" ht="14.5" x14ac:dyDescent="0.35">
      <c r="A33" s="7">
        <v>10110</v>
      </c>
      <c r="B33" s="12">
        <v>10112</v>
      </c>
      <c r="C33" s="45">
        <f t="shared" si="0"/>
        <v>115</v>
      </c>
    </row>
    <row r="34" spans="1:3" ht="14.5" x14ac:dyDescent="0.35">
      <c r="A34" s="7">
        <v>10100</v>
      </c>
      <c r="B34" s="12">
        <v>10114</v>
      </c>
      <c r="C34" s="45">
        <f t="shared" si="0"/>
        <v>480</v>
      </c>
    </row>
    <row r="35" spans="1:3" ht="14.5" x14ac:dyDescent="0.35">
      <c r="A35" s="9">
        <v>10112</v>
      </c>
      <c r="B35" s="13">
        <v>10116</v>
      </c>
      <c r="C35" s="45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Diksha Bhati</cp:lastModifiedBy>
  <dcterms:created xsi:type="dcterms:W3CDTF">2015-02-10T17:33:11Z</dcterms:created>
  <dcterms:modified xsi:type="dcterms:W3CDTF">2023-12-10T09:52:26Z</dcterms:modified>
</cp:coreProperties>
</file>